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KyuHan\연구_실험\DataReconciliation\DR_example\"/>
    </mc:Choice>
  </mc:AlternateContent>
  <xr:revisionPtr revIDLastSave="0" documentId="13_ncr:1_{D9C65022-A08A-459F-B584-FE7B6B15F9FD}" xr6:coauthVersionLast="47" xr6:coauthVersionMax="47" xr10:uidLastSave="{00000000-0000-0000-0000-000000000000}"/>
  <bookViews>
    <workbookView xWindow="28680" yWindow="-120" windowWidth="29040" windowHeight="15720" xr2:uid="{A6C406DC-D852-4C52-9736-5B83FC74A5DC}"/>
  </bookViews>
  <sheets>
    <sheet name="유량계 오차 보정" sheetId="3" r:id="rId1"/>
  </sheets>
  <definedNames>
    <definedName name="solver_adj" localSheetId="0" hidden="1">'유량계 오차 보정'!$D$5:$S$5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'유량계 오차 보정'!$T$10</definedName>
    <definedName name="solver_lhs10" localSheetId="0" hidden="1">'유량계 오차 보정'!$X$16</definedName>
    <definedName name="solver_lhs11" localSheetId="0" hidden="1">'유량계 오차 보정'!$X$16</definedName>
    <definedName name="solver_lhs12" localSheetId="0" hidden="1">'유량계 오차 보정'!$T$12</definedName>
    <definedName name="solver_lhs13" localSheetId="0" hidden="1">'유량계 오차 보정'!$T$15</definedName>
    <definedName name="solver_lhs14" localSheetId="0" hidden="1">'유량계 오차 보정'!$T$16</definedName>
    <definedName name="solver_lhs15" localSheetId="0" hidden="1">'유량계 오차 보정'!$T$17</definedName>
    <definedName name="solver_lhs16" localSheetId="0" hidden="1">'유량계 오차 보정'!$X$14</definedName>
    <definedName name="solver_lhs17" localSheetId="0" hidden="1">'유량계 오차 보정'!$T$13</definedName>
    <definedName name="solver_lhs18" localSheetId="0" hidden="1">'유량계 오차 보정'!$X$15</definedName>
    <definedName name="solver_lhs19" localSheetId="0" hidden="1">'유량계 오차 보정'!$X$15</definedName>
    <definedName name="solver_lhs2" localSheetId="0" hidden="1">'유량계 오차 보정'!$T$11</definedName>
    <definedName name="solver_lhs20" localSheetId="0" hidden="1">'유량계 오차 보정'!$X$14</definedName>
    <definedName name="solver_lhs21" localSheetId="0" hidden="1">'유량계 오차 보정'!$T$10</definedName>
    <definedName name="solver_lhs22" localSheetId="0" hidden="1">'유량계 오차 보정'!$X$16</definedName>
    <definedName name="solver_lhs23" localSheetId="0" hidden="1">'유량계 오차 보정'!$X$14</definedName>
    <definedName name="solver_lhs24" localSheetId="0" hidden="1">'유량계 오차 보정'!#REF!</definedName>
    <definedName name="solver_lhs25" localSheetId="0" hidden="1">'유량계 오차 보정'!$X$16</definedName>
    <definedName name="solver_lhs26" localSheetId="0" hidden="1">'유량계 오차 보정'!$X$15</definedName>
    <definedName name="solver_lhs27" localSheetId="0" hidden="1">'유량계 오차 보정'!$X$14</definedName>
    <definedName name="solver_lhs28" localSheetId="0" hidden="1">'유량계 오차 보정'!$X$15</definedName>
    <definedName name="solver_lhs29" localSheetId="0" hidden="1">'유량계 오차 보정'!$T$14</definedName>
    <definedName name="solver_lhs3" localSheetId="0" hidden="1">'유량계 오차 보정'!$T$12</definedName>
    <definedName name="solver_lhs30" localSheetId="0" hidden="1">'유량계 오차 보정'!$X$15</definedName>
    <definedName name="solver_lhs31" localSheetId="0" hidden="1">'유량계 오차 보정'!$X$14</definedName>
    <definedName name="solver_lhs32" localSheetId="0" hidden="1">'유량계 오차 보정'!$X$14</definedName>
    <definedName name="solver_lhs4" localSheetId="0" hidden="1">'유량계 오차 보정'!$T$13</definedName>
    <definedName name="solver_lhs5" localSheetId="0" hidden="1">'유량계 오차 보정'!$T$14</definedName>
    <definedName name="solver_lhs6" localSheetId="0" hidden="1">'유량계 오차 보정'!$T$15</definedName>
    <definedName name="solver_lhs7" localSheetId="0" hidden="1">'유량계 오차 보정'!$T$16</definedName>
    <definedName name="solver_lhs8" localSheetId="0" hidden="1">'유량계 오차 보정'!$T$17</definedName>
    <definedName name="solver_lhs9" localSheetId="0" hidden="1">'유량계 오차 보정'!$X$16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8</definedName>
    <definedName name="solver_nwt" localSheetId="0" hidden="1">1</definedName>
    <definedName name="solver_opt" localSheetId="0" hidden="1">'유량계 오차 보정'!$F$24</definedName>
    <definedName name="solver_pre" localSheetId="0" hidden="1">0.000001</definedName>
    <definedName name="solver_rbv" localSheetId="0" hidden="1">1</definedName>
    <definedName name="solver_rel1" localSheetId="0" hidden="1">2</definedName>
    <definedName name="solver_rel10" localSheetId="0" hidden="1">2</definedName>
    <definedName name="solver_rel11" localSheetId="0" hidden="1">2</definedName>
    <definedName name="solver_rel12" localSheetId="0" hidden="1">2</definedName>
    <definedName name="solver_rel13" localSheetId="0" hidden="1">2</definedName>
    <definedName name="solver_rel14" localSheetId="0" hidden="1">2</definedName>
    <definedName name="solver_rel15" localSheetId="0" hidden="1">2</definedName>
    <definedName name="solver_rel16" localSheetId="0" hidden="1">2</definedName>
    <definedName name="solver_rel17" localSheetId="0" hidden="1">2</definedName>
    <definedName name="solver_rel18" localSheetId="0" hidden="1">2</definedName>
    <definedName name="solver_rel19" localSheetId="0" hidden="1">2</definedName>
    <definedName name="solver_rel2" localSheetId="0" hidden="1">2</definedName>
    <definedName name="solver_rel20" localSheetId="0" hidden="1">2</definedName>
    <definedName name="solver_rel21" localSheetId="0" hidden="1">2</definedName>
    <definedName name="solver_rel22" localSheetId="0" hidden="1">2</definedName>
    <definedName name="solver_rel23" localSheetId="0" hidden="1">2</definedName>
    <definedName name="solver_rel24" localSheetId="0" hidden="1">2</definedName>
    <definedName name="solver_rel25" localSheetId="0" hidden="1">2</definedName>
    <definedName name="solver_rel26" localSheetId="0" hidden="1">2</definedName>
    <definedName name="solver_rel27" localSheetId="0" hidden="1">2</definedName>
    <definedName name="solver_rel28" localSheetId="0" hidden="1">2</definedName>
    <definedName name="solver_rel29" localSheetId="0" hidden="1">2</definedName>
    <definedName name="solver_rel3" localSheetId="0" hidden="1">2</definedName>
    <definedName name="solver_rel30" localSheetId="0" hidden="1">2</definedName>
    <definedName name="solver_rel31" localSheetId="0" hidden="1">2</definedName>
    <definedName name="solver_rel32" localSheetId="0" hidden="1">2</definedName>
    <definedName name="solver_rel4" localSheetId="0" hidden="1">2</definedName>
    <definedName name="solver_rel5" localSheetId="0" hidden="1">2</definedName>
    <definedName name="solver_rel6" localSheetId="0" hidden="1">2</definedName>
    <definedName name="solver_rel7" localSheetId="0" hidden="1">2</definedName>
    <definedName name="solver_rel8" localSheetId="0" hidden="1">2</definedName>
    <definedName name="solver_rel9" localSheetId="0" hidden="1">2</definedName>
    <definedName name="solver_rhs1" localSheetId="0" hidden="1">0</definedName>
    <definedName name="solver_rhs10" localSheetId="0" hidden="1">0</definedName>
    <definedName name="solver_rhs11" localSheetId="0" hidden="1">0</definedName>
    <definedName name="solver_rhs12" localSheetId="0" hidden="1">0</definedName>
    <definedName name="solver_rhs13" localSheetId="0" hidden="1">0</definedName>
    <definedName name="solver_rhs14" localSheetId="0" hidden="1">0</definedName>
    <definedName name="solver_rhs15" localSheetId="0" hidden="1">0</definedName>
    <definedName name="solver_rhs16" localSheetId="0" hidden="1">0</definedName>
    <definedName name="solver_rhs17" localSheetId="0" hidden="1">0</definedName>
    <definedName name="solver_rhs18" localSheetId="0" hidden="1">0</definedName>
    <definedName name="solver_rhs19" localSheetId="0" hidden="1">0</definedName>
    <definedName name="solver_rhs2" localSheetId="0" hidden="1">0</definedName>
    <definedName name="solver_rhs20" localSheetId="0" hidden="1">0</definedName>
    <definedName name="solver_rhs21" localSheetId="0" hidden="1">0</definedName>
    <definedName name="solver_rhs22" localSheetId="0" hidden="1">0</definedName>
    <definedName name="solver_rhs23" localSheetId="0" hidden="1">0</definedName>
    <definedName name="solver_rhs24" localSheetId="0" hidden="1">0</definedName>
    <definedName name="solver_rhs25" localSheetId="0" hidden="1">0</definedName>
    <definedName name="solver_rhs26" localSheetId="0" hidden="1">0</definedName>
    <definedName name="solver_rhs27" localSheetId="0" hidden="1">0</definedName>
    <definedName name="solver_rhs28" localSheetId="0" hidden="1">0</definedName>
    <definedName name="solver_rhs29" localSheetId="0" hidden="1">0</definedName>
    <definedName name="solver_rhs3" localSheetId="0" hidden="1">0</definedName>
    <definedName name="solver_rhs30" localSheetId="0" hidden="1">0</definedName>
    <definedName name="solver_rhs31" localSheetId="0" hidden="1">0</definedName>
    <definedName name="solver_rhs32" localSheetId="0" hidden="1">0</definedName>
    <definedName name="solver_rhs4" localSheetId="0" hidden="1">0</definedName>
    <definedName name="solver_rhs5" localSheetId="0" hidden="1">0</definedName>
    <definedName name="solver_rhs6" localSheetId="0" hidden="1">0</definedName>
    <definedName name="solver_rhs7" localSheetId="0" hidden="1">0</definedName>
    <definedName name="solver_rhs8" localSheetId="0" hidden="1">0</definedName>
    <definedName name="solver_rhs9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9" i="3" l="1"/>
  <c r="D20" i="3" s="1"/>
  <c r="E20" i="3" s="1"/>
  <c r="D25" i="3" s="1"/>
  <c r="E7" i="3"/>
  <c r="E8" i="3" s="1"/>
  <c r="F7" i="3"/>
  <c r="F8" i="3" s="1"/>
  <c r="G7" i="3"/>
  <c r="G8" i="3" s="1"/>
  <c r="H7" i="3"/>
  <c r="H8" i="3" s="1"/>
  <c r="I7" i="3"/>
  <c r="I8" i="3" s="1"/>
  <c r="J7" i="3"/>
  <c r="J8" i="3" s="1"/>
  <c r="K7" i="3"/>
  <c r="K8" i="3" s="1"/>
  <c r="L7" i="3"/>
  <c r="L8" i="3" s="1"/>
  <c r="M7" i="3"/>
  <c r="M8" i="3" s="1"/>
  <c r="N7" i="3"/>
  <c r="N8" i="3" s="1"/>
  <c r="O7" i="3"/>
  <c r="O8" i="3" s="1"/>
  <c r="P7" i="3"/>
  <c r="P8" i="3" s="1"/>
  <c r="Q7" i="3"/>
  <c r="Q8" i="3" s="1"/>
  <c r="R7" i="3"/>
  <c r="R8" i="3" s="1"/>
  <c r="S7" i="3"/>
  <c r="S8" i="3" s="1"/>
  <c r="D7" i="3"/>
  <c r="D8" i="3" s="1"/>
  <c r="T8" i="3" l="1"/>
  <c r="F24" i="3" s="1"/>
  <c r="D21" i="3"/>
  <c r="E21" i="3" s="1"/>
  <c r="F25" i="3" s="1"/>
  <c r="T10" i="3" l="1"/>
  <c r="T17" i="3"/>
  <c r="T16" i="3"/>
  <c r="T15" i="3"/>
  <c r="T14" i="3"/>
  <c r="T13" i="3"/>
  <c r="T12" i="3"/>
  <c r="T11" i="3"/>
  <c r="D24" i="3" l="1"/>
  <c r="D26" i="3" s="1"/>
</calcChain>
</file>

<file path=xl/sharedStrings.xml><?xml version="1.0" encoding="utf-8"?>
<sst xmlns="http://schemas.openxmlformats.org/spreadsheetml/2006/main" count="74" uniqueCount="53">
  <si>
    <t>x1</t>
    <phoneticPr fontId="1" type="noConversion"/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</si>
  <si>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</si>
  <si>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</si>
  <si>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</si>
  <si>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</si>
  <si>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</si>
  <si>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</si>
  <si>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</si>
  <si>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</si>
  <si>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</si>
  <si>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</si>
  <si>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</si>
  <si>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x13</t>
  </si>
  <si>
    <t>보정값</t>
    <phoneticPr fontId="1" type="noConversion"/>
  </si>
  <si>
    <t>J1</t>
    <phoneticPr fontId="1" type="noConversion"/>
  </si>
  <si>
    <t>J2</t>
  </si>
  <si>
    <t>J3</t>
  </si>
  <si>
    <t>J4</t>
  </si>
  <si>
    <t>J5</t>
  </si>
  <si>
    <t>표준편차</t>
    <phoneticPr fontId="1" type="noConversion"/>
  </si>
  <si>
    <t>변수</t>
    <phoneticPr fontId="1" type="noConversion"/>
  </si>
  <si>
    <t>검정치</t>
    <phoneticPr fontId="1" type="noConversion"/>
  </si>
  <si>
    <t>비고</t>
    <phoneticPr fontId="1" type="noConversion"/>
  </si>
  <si>
    <t>계측값(현재값)</t>
    <phoneticPr fontId="1" type="noConversion"/>
  </si>
  <si>
    <t>Objective Function</t>
    <phoneticPr fontId="1" type="noConversion"/>
  </si>
  <si>
    <t>자유도</t>
    <phoneticPr fontId="1" type="noConversion"/>
  </si>
  <si>
    <t>x1+x2=x4</t>
  </si>
  <si>
    <t>x3+x4=x5</t>
  </si>
  <si>
    <t>x6+x7+x8=x5</t>
    <phoneticPr fontId="1" type="noConversion"/>
  </si>
  <si>
    <t>x9+x12=x6</t>
  </si>
  <si>
    <t>x10+x13=x7</t>
    <phoneticPr fontId="1" type="noConversion"/>
  </si>
  <si>
    <t>x11+x14=x8</t>
  </si>
  <si>
    <t>x12+x13=x15</t>
  </si>
  <si>
    <t>x14+x15=x16</t>
  </si>
  <si>
    <t>기준치</t>
    <phoneticPr fontId="1" type="noConversion"/>
  </si>
  <si>
    <t>Detection</t>
    <phoneticPr fontId="1" type="noConversion"/>
  </si>
  <si>
    <t>목적함수</t>
    <phoneticPr fontId="1" type="noConversion"/>
  </si>
  <si>
    <t>Identification</t>
    <phoneticPr fontId="1" type="noConversion"/>
  </si>
  <si>
    <t>Error Value</t>
    <phoneticPr fontId="1" type="noConversion"/>
  </si>
  <si>
    <t>x14</t>
  </si>
  <si>
    <t>x15</t>
  </si>
  <si>
    <t>x16</t>
  </si>
  <si>
    <t>J6</t>
  </si>
  <si>
    <t>J7</t>
  </si>
  <si>
    <t>J8</t>
  </si>
  <si>
    <t>시그마수준</t>
    <phoneticPr fontId="1" type="noConversion"/>
  </si>
  <si>
    <r>
      <t>오차</t>
    </r>
    <r>
      <rPr>
        <vertAlign val="superscript"/>
        <sz val="11"/>
        <color theme="1"/>
        <rFont val="KoPubWorld바탕체_Pro Light"/>
        <family val="3"/>
        <charset val="129"/>
      </rPr>
      <t>2</t>
    </r>
    <phoneticPr fontId="1" type="noConversion"/>
  </si>
  <si>
    <t>카이제곱신뢰도(χ2) 신뢰도</t>
    <phoneticPr fontId="1" type="noConversion"/>
  </si>
  <si>
    <t>변수의 수</t>
    <phoneticPr fontId="1" type="noConversion"/>
  </si>
  <si>
    <t>x16</t>
    <phoneticPr fontId="1" type="noConversion"/>
  </si>
  <si>
    <t>정답</t>
    <phoneticPr fontId="1" type="noConversion"/>
  </si>
  <si>
    <t>오차 삽입</t>
    <phoneticPr fontId="1" type="noConversion"/>
  </si>
  <si>
    <t xml:space="preserve">목적함수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</si>
</sst>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8" formatCode="0.0_ "/>
    <numFmt numFmtId="179" formatCode="0.00_);[Red]\(0.00\)"/>
    <numFmt numFmtId="180" formatCode="0.00_ "/>
  </numFmts>
  <fonts count="1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조선일보명조"/>
      <family val="1"/>
      <charset val="129"/>
    </font>
    <font>
      <b/>
      <sz val="11"/>
      <color theme="0"/>
      <name val="조선일보명조"/>
      <family val="1"/>
      <charset val="129"/>
    </font>
    <font>
      <b/>
      <sz val="11"/>
      <name val="조선일보명조"/>
      <family val="1"/>
      <charset val="129"/>
    </font>
    <font>
      <b/>
      <sz val="11"/>
      <color theme="1"/>
      <name val="KoPubWorld바탕체_Pro Light"/>
      <family val="3"/>
      <charset val="129"/>
    </font>
    <font>
      <sz val="11"/>
      <color theme="1"/>
      <name val="KoPubWorld바탕체_Pro Light"/>
      <family val="3"/>
      <charset val="129"/>
    </font>
    <font>
      <sz val="11"/>
      <name val="KoPubWorld바탕체_Pro Light"/>
      <family val="3"/>
      <charset val="129"/>
    </font>
    <font>
      <sz val="11"/>
      <color theme="0"/>
      <name val="KoPubWorld바탕체_Pro Light"/>
      <family val="3"/>
      <charset val="129"/>
    </font>
    <font>
      <sz val="11"/>
      <color rgb="FFFF0000"/>
      <name val="KoPubWorld바탕체_Pro Light"/>
      <family val="3"/>
      <charset val="129"/>
    </font>
    <font>
      <vertAlign val="superscript"/>
      <sz val="11"/>
      <color theme="1"/>
      <name val="KoPubWorld바탕체_Pro Light"/>
      <family val="3"/>
      <charset val="129"/>
    </font>
    <font>
      <sz val="11"/>
      <name val="Arial Unicode MS"/>
      <family val="1"/>
      <charset val="129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0">
    <xf numFmtId="0" fontId="0" fillId="0" borderId="0" xfId="0">
      <alignment vertical="center"/>
    </xf>
    <xf numFmtId="178" fontId="2" fillId="0" borderId="0" xfId="0" applyNumberFormat="1" applyFont="1" applyAlignment="1">
      <alignment horizontal="center" vertical="center"/>
    </xf>
    <xf numFmtId="178" fontId="2" fillId="2" borderId="4" xfId="0" applyNumberFormat="1" applyFont="1" applyFill="1" applyBorder="1" applyAlignment="1">
      <alignment horizontal="center" vertical="center"/>
    </xf>
    <xf numFmtId="178" fontId="2" fillId="0" borderId="1" xfId="0" applyNumberFormat="1" applyFont="1" applyBorder="1" applyAlignment="1">
      <alignment horizontal="center" vertical="center"/>
    </xf>
    <xf numFmtId="178" fontId="3" fillId="3" borderId="1" xfId="0" applyNumberFormat="1" applyFont="1" applyFill="1" applyBorder="1" applyAlignment="1">
      <alignment horizontal="center" vertical="center"/>
    </xf>
    <xf numFmtId="9" fontId="2" fillId="0" borderId="1" xfId="0" applyNumberFormat="1" applyFont="1" applyBorder="1" applyAlignment="1">
      <alignment horizontal="center" vertical="center"/>
    </xf>
    <xf numFmtId="178" fontId="2" fillId="0" borderId="8" xfId="0" applyNumberFormat="1" applyFont="1" applyBorder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  <xf numFmtId="178" fontId="4" fillId="0" borderId="1" xfId="0" applyNumberFormat="1" applyFont="1" applyBorder="1" applyAlignment="1">
      <alignment horizontal="center" vertical="center"/>
    </xf>
    <xf numFmtId="178" fontId="4" fillId="0" borderId="7" xfId="0" applyNumberFormat="1" applyFont="1" applyBorder="1" applyAlignment="1">
      <alignment horizontal="center" vertical="center"/>
    </xf>
    <xf numFmtId="178" fontId="4" fillId="0" borderId="0" xfId="0" applyNumberFormat="1" applyFont="1" applyAlignment="1">
      <alignment horizontal="center" vertical="center"/>
    </xf>
    <xf numFmtId="178" fontId="4" fillId="3" borderId="0" xfId="0" applyNumberFormat="1" applyFont="1" applyFill="1" applyAlignment="1">
      <alignment horizontal="center" vertical="center"/>
    </xf>
    <xf numFmtId="178" fontId="2" fillId="0" borderId="2" xfId="0" applyNumberFormat="1" applyFont="1" applyBorder="1" applyAlignment="1">
      <alignment horizontal="center" vertical="center"/>
    </xf>
    <xf numFmtId="178" fontId="4" fillId="4" borderId="0" xfId="0" applyNumberFormat="1" applyFont="1" applyFill="1" applyAlignment="1">
      <alignment horizontal="center" vertical="center"/>
    </xf>
    <xf numFmtId="178" fontId="2" fillId="0" borderId="6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176" fontId="5" fillId="5" borderId="1" xfId="0" applyNumberFormat="1" applyFont="1" applyFill="1" applyBorder="1" applyAlignment="1">
      <alignment horizontal="center" vertical="center"/>
    </xf>
    <xf numFmtId="2" fontId="9" fillId="0" borderId="1" xfId="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79" fontId="5" fillId="0" borderId="10" xfId="0" applyNumberFormat="1" applyFont="1" applyBorder="1" applyAlignment="1">
      <alignment horizontal="center" vertical="center"/>
    </xf>
    <xf numFmtId="179" fontId="6" fillId="0" borderId="10" xfId="0" applyNumberFormat="1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178" fontId="2" fillId="0" borderId="0" xfId="0" applyNumberFormat="1" applyFont="1" applyBorder="1" applyAlignment="1">
      <alignment horizontal="center" vertical="center"/>
    </xf>
    <xf numFmtId="178" fontId="2" fillId="0" borderId="3" xfId="0" applyNumberFormat="1" applyFont="1" applyBorder="1" applyAlignment="1">
      <alignment horizontal="center" vertical="center"/>
    </xf>
    <xf numFmtId="178" fontId="2" fillId="0" borderId="11" xfId="0" applyNumberFormat="1" applyFont="1" applyBorder="1" applyAlignment="1">
      <alignment horizontal="center" vertical="center"/>
    </xf>
    <xf numFmtId="178" fontId="2" fillId="0" borderId="12" xfId="0" applyNumberFormat="1" applyFont="1" applyBorder="1" applyAlignment="1">
      <alignment horizontal="center" vertical="center"/>
    </xf>
    <xf numFmtId="178" fontId="2" fillId="0" borderId="13" xfId="0" applyNumberFormat="1" applyFont="1" applyBorder="1" applyAlignment="1">
      <alignment horizontal="center" vertical="center"/>
    </xf>
    <xf numFmtId="180" fontId="7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78" fontId="2" fillId="0" borderId="1" xfId="0" applyNumberFormat="1" applyFont="1" applyBorder="1" applyAlignment="1">
      <alignment horizontal="center" vertical="center"/>
    </xf>
    <xf numFmtId="178" fontId="2" fillId="0" borderId="7" xfId="0" applyNumberFormat="1" applyFont="1" applyBorder="1" applyAlignment="1">
      <alignment horizontal="center" vertical="center"/>
    </xf>
    <xf numFmtId="179" fontId="6" fillId="0" borderId="6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179" fontId="7" fillId="0" borderId="1" xfId="0" applyNumberFormat="1" applyFont="1" applyBorder="1" applyAlignment="1">
      <alignment horizontal="center" vertical="center"/>
    </xf>
    <xf numFmtId="178" fontId="2" fillId="0" borderId="1" xfId="0" applyNumberFormat="1" applyFont="1" applyBorder="1" applyAlignment="1">
      <alignment horizontal="center" vertical="center"/>
    </xf>
    <xf numFmtId="178" fontId="11" fillId="0" borderId="1" xfId="0" applyNumberFormat="1" applyFont="1" applyBorder="1" applyAlignment="1">
      <alignment horizontal="center" vertical="center"/>
    </xf>
    <xf numFmtId="178" fontId="2" fillId="4" borderId="1" xfId="0" applyNumberFormat="1" applyFont="1" applyFill="1" applyBorder="1" applyAlignment="1">
      <alignment horizontal="center" vertical="center"/>
    </xf>
    <xf numFmtId="178" fontId="2" fillId="0" borderId="4" xfId="0" applyNumberFormat="1" applyFont="1" applyBorder="1" applyAlignment="1">
      <alignment horizontal="center" vertical="center"/>
    </xf>
    <xf numFmtId="178" fontId="2" fillId="0" borderId="1" xfId="0" applyNumberFormat="1" applyFont="1" applyBorder="1" applyAlignment="1">
      <alignment horizontal="center" vertical="center"/>
    </xf>
    <xf numFmtId="178" fontId="2" fillId="0" borderId="5" xfId="0" applyNumberFormat="1" applyFont="1" applyBorder="1" applyAlignment="1">
      <alignment horizontal="center" vertical="center"/>
    </xf>
    <xf numFmtId="178" fontId="2" fillId="0" borderId="7" xfId="0" applyNumberFormat="1" applyFont="1" applyBorder="1" applyAlignment="1">
      <alignment horizontal="center" vertical="center"/>
    </xf>
    <xf numFmtId="178" fontId="2" fillId="0" borderId="14" xfId="0" applyNumberFormat="1" applyFont="1" applyBorder="1" applyAlignment="1">
      <alignment horizontal="center" vertical="center" wrapText="1"/>
    </xf>
    <xf numFmtId="178" fontId="2" fillId="0" borderId="15" xfId="0" applyNumberFormat="1" applyFont="1" applyBorder="1" applyAlignment="1">
      <alignment horizontal="center" vertical="center" wrapText="1"/>
    </xf>
    <xf numFmtId="178" fontId="2" fillId="0" borderId="16" xfId="0" applyNumberFormat="1" applyFont="1" applyBorder="1" applyAlignment="1">
      <alignment horizontal="center" vertical="center"/>
    </xf>
    <xf numFmtId="178" fontId="2" fillId="0" borderId="17" xfId="0" applyNumberFormat="1" applyFont="1" applyBorder="1" applyAlignment="1">
      <alignment horizontal="center" vertical="center"/>
    </xf>
    <xf numFmtId="179" fontId="6" fillId="0" borderId="6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179" fontId="7" fillId="0" borderId="1" xfId="0" applyNumberFormat="1" applyFont="1" applyBorder="1" applyAlignment="1">
      <alignment horizontal="center" vertical="center"/>
    </xf>
    <xf numFmtId="179" fontId="5" fillId="0" borderId="9" xfId="0" applyNumberFormat="1" applyFont="1" applyBorder="1" applyAlignment="1">
      <alignment horizontal="center" vertical="center"/>
    </xf>
    <xf numFmtId="178" fontId="2" fillId="2" borderId="1" xfId="0" applyNumberFormat="1" applyFont="1" applyFill="1" applyBorder="1" applyAlignment="1">
      <alignment horizontal="center" vertical="center"/>
    </xf>
  </cellXfs>
  <cellStyles count="1">
    <cellStyle name="표준" xfId="0" builtinId="0"/>
  </cellStyles>
  <dxfs count="5">
    <dxf>
      <font>
        <color rgb="FFFF0000"/>
      </font>
    </dxf>
    <dxf>
      <font>
        <color theme="0"/>
      </font>
    </dxf>
    <dxf>
      <font>
        <color theme="7"/>
      </font>
      <fill>
        <patternFill>
          <bgColor theme="1"/>
        </patternFill>
      </fill>
    </dxf>
    <dxf>
      <font>
        <color theme="1"/>
      </font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210222</xdr:colOff>
      <xdr:row>2</xdr:row>
      <xdr:rowOff>42358</xdr:rowOff>
    </xdr:from>
    <xdr:to>
      <xdr:col>30</xdr:col>
      <xdr:colOff>297139</xdr:colOff>
      <xdr:row>26</xdr:row>
      <xdr:rowOff>146181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D68975E9-C582-47AF-B1EE-9E161A6024EA}"/>
            </a:ext>
          </a:extLst>
        </xdr:cNvPr>
        <xdr:cNvGrpSpPr/>
      </xdr:nvGrpSpPr>
      <xdr:grpSpPr>
        <a:xfrm>
          <a:off x="14549941" y="414057"/>
          <a:ext cx="4929764" cy="4784072"/>
          <a:chOff x="256673" y="1579466"/>
          <a:chExt cx="4881802" cy="4864418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37D16293-D479-4831-91FC-374A769EC6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256673" y="1579466"/>
            <a:ext cx="4881802" cy="4864418"/>
          </a:xfrm>
          <a:prstGeom prst="rect">
            <a:avLst/>
          </a:prstGeom>
        </xdr:spPr>
      </xdr:pic>
      <xdr:sp macro="" textlink="">
        <xdr:nvSpPr>
          <xdr:cNvPr id="5" name="직사각형 4">
            <a:extLst>
              <a:ext uri="{FF2B5EF4-FFF2-40B4-BE49-F238E27FC236}">
                <a16:creationId xmlns:a16="http://schemas.microsoft.com/office/drawing/2014/main" id="{69C9E2AD-A3B3-4995-848B-5062D2EA615B}"/>
              </a:ext>
            </a:extLst>
          </xdr:cNvPr>
          <xdr:cNvSpPr/>
        </xdr:nvSpPr>
        <xdr:spPr>
          <a:xfrm>
            <a:off x="3352800" y="3068320"/>
            <a:ext cx="345440" cy="16256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</xdr:grpSp>
    <xdr:clientData/>
  </xdr:twoCellAnchor>
  <xdr:twoCellAnchor>
    <xdr:from>
      <xdr:col>15</xdr:col>
      <xdr:colOff>270846</xdr:colOff>
      <xdr:row>22</xdr:row>
      <xdr:rowOff>22412</xdr:rowOff>
    </xdr:from>
    <xdr:to>
      <xdr:col>17</xdr:col>
      <xdr:colOff>257735</xdr:colOff>
      <xdr:row>24</xdr:row>
      <xdr:rowOff>22412</xdr:rowOff>
    </xdr:to>
    <xdr:sp macro="[0]!유량계보정사례_DR" textlink="">
      <xdr:nvSpPr>
        <xdr:cNvPr id="2" name="직사각형 1">
          <a:extLst>
            <a:ext uri="{FF2B5EF4-FFF2-40B4-BE49-F238E27FC236}">
              <a16:creationId xmlns:a16="http://schemas.microsoft.com/office/drawing/2014/main" id="{D2D8C7DC-7E1E-4754-B6DB-935E76B17C0A}"/>
            </a:ext>
          </a:extLst>
        </xdr:cNvPr>
        <xdr:cNvSpPr/>
      </xdr:nvSpPr>
      <xdr:spPr>
        <a:xfrm>
          <a:off x="10154434" y="4572000"/>
          <a:ext cx="1040242" cy="448236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/>
            <a:t>Data</a:t>
          </a:r>
          <a:r>
            <a:rPr lang="en-US" altLang="ko-KR" sz="1100" b="1" baseline="0"/>
            <a:t> Reconciliation</a:t>
          </a:r>
          <a:endParaRPr lang="ko-KR" altLang="en-US" sz="1100" b="1"/>
        </a:p>
      </xdr:txBody>
    </xdr:sp>
    <xdr:clientData/>
  </xdr:twoCellAnchor>
  <xdr:twoCellAnchor>
    <xdr:from>
      <xdr:col>17</xdr:col>
      <xdr:colOff>356683</xdr:colOff>
      <xdr:row>22</xdr:row>
      <xdr:rowOff>22412</xdr:rowOff>
    </xdr:from>
    <xdr:to>
      <xdr:col>19</xdr:col>
      <xdr:colOff>192405</xdr:colOff>
      <xdr:row>24</xdr:row>
      <xdr:rowOff>22412</xdr:rowOff>
    </xdr:to>
    <xdr:sp macro="[0]!유량계보정사례_Re" textlink="">
      <xdr:nvSpPr>
        <xdr:cNvPr id="6" name="직사각형 5">
          <a:extLst>
            <a:ext uri="{FF2B5EF4-FFF2-40B4-BE49-F238E27FC236}">
              <a16:creationId xmlns:a16="http://schemas.microsoft.com/office/drawing/2014/main" id="{8102F529-2F7E-4FCB-B11D-DEF9029B5743}"/>
            </a:ext>
          </a:extLst>
        </xdr:cNvPr>
        <xdr:cNvSpPr/>
      </xdr:nvSpPr>
      <xdr:spPr>
        <a:xfrm>
          <a:off x="11293624" y="4572000"/>
          <a:ext cx="1045957" cy="448236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/>
            <a:t>Restore</a:t>
          </a:r>
          <a:endParaRPr lang="ko-KR" altLang="en-US" sz="1100" b="1"/>
        </a:p>
      </xdr:txBody>
    </xdr:sp>
    <xdr:clientData/>
  </xdr:twoCellAnchor>
  <xdr:twoCellAnchor>
    <xdr:from>
      <xdr:col>19</xdr:col>
      <xdr:colOff>270847</xdr:colOff>
      <xdr:row>22</xdr:row>
      <xdr:rowOff>18602</xdr:rowOff>
    </xdr:from>
    <xdr:to>
      <xdr:col>20</xdr:col>
      <xdr:colOff>607024</xdr:colOff>
      <xdr:row>24</xdr:row>
      <xdr:rowOff>18602</xdr:rowOff>
    </xdr:to>
    <xdr:sp macro="[0]!유량계보정사례_ID" textlink="">
      <xdr:nvSpPr>
        <xdr:cNvPr id="7" name="직사각형 6">
          <a:extLst>
            <a:ext uri="{FF2B5EF4-FFF2-40B4-BE49-F238E27FC236}">
              <a16:creationId xmlns:a16="http://schemas.microsoft.com/office/drawing/2014/main" id="{4A53D1A5-FD1B-4675-A277-219C7ABD1BCF}"/>
            </a:ext>
          </a:extLst>
        </xdr:cNvPr>
        <xdr:cNvSpPr/>
      </xdr:nvSpPr>
      <xdr:spPr>
        <a:xfrm>
          <a:off x="12574906" y="4175984"/>
          <a:ext cx="1042147" cy="448236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/>
            <a:t>Identify</a:t>
          </a:r>
          <a:endParaRPr lang="ko-KR" alt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6EDF3-48B5-4D6A-92E8-2BBC3E46F663}">
  <sheetPr codeName="Sheet1"/>
  <dimension ref="C1:U148"/>
  <sheetViews>
    <sheetView tabSelected="1" zoomScale="85" zoomScaleNormal="85" workbookViewId="0">
      <selection activeCell="O22" sqref="O22"/>
    </sheetView>
  </sheetViews>
  <sheetFormatPr defaultColWidth="6.09765625" defaultRowHeight="14.4"/>
  <cols>
    <col min="1" max="1" width="6.09765625" style="1"/>
    <col min="2" max="2" width="9.09765625" style="1" customWidth="1"/>
    <col min="3" max="3" width="13.59765625" style="1" bestFit="1" customWidth="1"/>
    <col min="4" max="4" width="13" style="1" bestFit="1" customWidth="1"/>
    <col min="5" max="5" width="11.8984375" style="1" bestFit="1" customWidth="1"/>
    <col min="6" max="6" width="9.59765625" style="1" bestFit="1" customWidth="1"/>
    <col min="7" max="11" width="8" style="1" bestFit="1" customWidth="1"/>
    <col min="12" max="14" width="6.8984375" style="1" bestFit="1" customWidth="1"/>
    <col min="15" max="15" width="8" style="1" bestFit="1" customWidth="1"/>
    <col min="16" max="17" width="6.8984375" style="1" bestFit="1" customWidth="1"/>
    <col min="18" max="19" width="8" style="1" bestFit="1" customWidth="1"/>
    <col min="20" max="20" width="9.19921875" style="1" bestFit="1" customWidth="1"/>
    <col min="21" max="21" width="17.5" style="1" bestFit="1" customWidth="1"/>
    <col min="22" max="22" width="8.796875" style="1" bestFit="1" customWidth="1"/>
    <col min="23" max="23" width="8.69921875" style="1" bestFit="1" customWidth="1"/>
    <col min="24" max="24" width="8.796875" style="1" bestFit="1" customWidth="1"/>
    <col min="25" max="16384" width="6.09765625" style="1"/>
  </cols>
  <sheetData>
    <row r="1" spans="3:21">
      <c r="C1" s="35" t="s">
        <v>50</v>
      </c>
      <c r="D1" s="29">
        <v>100</v>
      </c>
      <c r="E1" s="29">
        <v>150</v>
      </c>
      <c r="F1" s="29">
        <v>80</v>
      </c>
      <c r="G1" s="29">
        <v>250</v>
      </c>
      <c r="H1" s="29">
        <v>330</v>
      </c>
      <c r="I1" s="29">
        <v>120</v>
      </c>
      <c r="J1" s="29">
        <v>110</v>
      </c>
      <c r="K1" s="29">
        <v>100</v>
      </c>
      <c r="L1" s="29">
        <v>80</v>
      </c>
      <c r="M1" s="29">
        <v>60</v>
      </c>
      <c r="N1" s="29">
        <v>40</v>
      </c>
      <c r="O1" s="29">
        <v>40</v>
      </c>
      <c r="P1" s="29">
        <v>50</v>
      </c>
      <c r="Q1" s="29">
        <v>60</v>
      </c>
      <c r="R1" s="29">
        <v>90</v>
      </c>
      <c r="S1" s="29">
        <v>150</v>
      </c>
      <c r="T1" s="36"/>
      <c r="U1" s="35" t="s">
        <v>51</v>
      </c>
    </row>
    <row r="2" spans="3:21" ht="15" thickBot="1"/>
    <row r="3" spans="3:21" ht="13.2" customHeight="1">
      <c r="C3" s="23" t="s">
        <v>20</v>
      </c>
      <c r="D3" s="2" t="s">
        <v>0</v>
      </c>
      <c r="E3" s="2" t="s">
        <v>1</v>
      </c>
      <c r="F3" s="2" t="s">
        <v>2</v>
      </c>
      <c r="G3" s="2" t="s">
        <v>3</v>
      </c>
      <c r="H3" s="2" t="s">
        <v>4</v>
      </c>
      <c r="I3" s="2" t="s">
        <v>5</v>
      </c>
      <c r="J3" s="2" t="s">
        <v>6</v>
      </c>
      <c r="K3" s="2" t="s">
        <v>7</v>
      </c>
      <c r="L3" s="2" t="s">
        <v>8</v>
      </c>
      <c r="M3" s="2" t="s">
        <v>9</v>
      </c>
      <c r="N3" s="2" t="s">
        <v>10</v>
      </c>
      <c r="O3" s="2" t="s">
        <v>11</v>
      </c>
      <c r="P3" s="2" t="s">
        <v>12</v>
      </c>
      <c r="Q3" s="2" t="s">
        <v>39</v>
      </c>
      <c r="R3" s="2" t="s">
        <v>40</v>
      </c>
      <c r="S3" s="2" t="s">
        <v>41</v>
      </c>
      <c r="T3" s="37" t="s">
        <v>21</v>
      </c>
      <c r="U3" s="39" t="s">
        <v>22</v>
      </c>
    </row>
    <row r="4" spans="3:21" ht="12.6" customHeight="1">
      <c r="C4" s="14" t="s">
        <v>23</v>
      </c>
      <c r="D4" s="28">
        <v>100</v>
      </c>
      <c r="E4" s="28">
        <v>150</v>
      </c>
      <c r="F4" s="28">
        <v>80</v>
      </c>
      <c r="G4" s="28">
        <v>250</v>
      </c>
      <c r="H4" s="29">
        <v>330</v>
      </c>
      <c r="I4" s="36">
        <v>250</v>
      </c>
      <c r="J4" s="28">
        <v>110</v>
      </c>
      <c r="K4" s="28">
        <v>100</v>
      </c>
      <c r="L4" s="28">
        <v>80</v>
      </c>
      <c r="M4" s="28">
        <v>60</v>
      </c>
      <c r="N4" s="28">
        <v>40</v>
      </c>
      <c r="O4" s="28">
        <v>40</v>
      </c>
      <c r="P4" s="28">
        <v>50</v>
      </c>
      <c r="Q4" s="28">
        <v>60</v>
      </c>
      <c r="R4" s="28">
        <v>90</v>
      </c>
      <c r="S4" s="28">
        <v>150</v>
      </c>
      <c r="T4" s="38"/>
      <c r="U4" s="40"/>
    </row>
    <row r="5" spans="3:21">
      <c r="C5" s="14" t="s">
        <v>13</v>
      </c>
      <c r="D5" s="17">
        <v>103.81417502496575</v>
      </c>
      <c r="E5" s="17">
        <v>153.81417712302635</v>
      </c>
      <c r="F5" s="17">
        <v>91.442533886277857</v>
      </c>
      <c r="G5" s="17">
        <v>257.62835214799202</v>
      </c>
      <c r="H5" s="17">
        <v>349.07088603426996</v>
      </c>
      <c r="I5" s="17">
        <v>183.03990001781571</v>
      </c>
      <c r="J5" s="17">
        <v>86.373272967581229</v>
      </c>
      <c r="K5" s="17">
        <v>79.657714642286251</v>
      </c>
      <c r="L5" s="17">
        <v>116.44667534434633</v>
      </c>
      <c r="M5" s="17">
        <v>53.113299109903352</v>
      </c>
      <c r="N5" s="17">
        <v>29.828857635152136</v>
      </c>
      <c r="O5" s="17">
        <v>66.593351195910799</v>
      </c>
      <c r="P5" s="17">
        <v>33.25997385767792</v>
      </c>
      <c r="Q5" s="17">
        <v>49.82885700713414</v>
      </c>
      <c r="R5" s="17">
        <v>99.853325053588662</v>
      </c>
      <c r="S5" s="17">
        <v>149.68218206072271</v>
      </c>
      <c r="T5" s="38"/>
      <c r="U5" s="40"/>
    </row>
    <row r="6" spans="3:21" ht="13.2" customHeight="1">
      <c r="C6" s="14" t="s">
        <v>19</v>
      </c>
      <c r="D6" s="29">
        <v>5</v>
      </c>
      <c r="E6" s="29">
        <v>5</v>
      </c>
      <c r="F6" s="29">
        <v>5</v>
      </c>
      <c r="G6" s="29">
        <v>5</v>
      </c>
      <c r="H6" s="29">
        <v>5</v>
      </c>
      <c r="I6" s="29">
        <v>5</v>
      </c>
      <c r="J6" s="29">
        <v>5</v>
      </c>
      <c r="K6" s="29">
        <v>5</v>
      </c>
      <c r="L6" s="29">
        <v>5</v>
      </c>
      <c r="M6" s="29">
        <v>5</v>
      </c>
      <c r="N6" s="29">
        <v>5</v>
      </c>
      <c r="O6" s="29">
        <v>5</v>
      </c>
      <c r="P6" s="29">
        <v>5</v>
      </c>
      <c r="Q6" s="29">
        <v>5</v>
      </c>
      <c r="R6" s="29">
        <v>5</v>
      </c>
      <c r="S6" s="29">
        <v>5</v>
      </c>
      <c r="T6" s="38"/>
      <c r="U6" s="40"/>
    </row>
    <row r="7" spans="3:21" ht="13.2" customHeight="1">
      <c r="C7" s="14" t="s">
        <v>45</v>
      </c>
      <c r="D7" s="29">
        <f>(D5-D4)/D6</f>
        <v>0.76283500499314982</v>
      </c>
      <c r="E7" s="29">
        <f t="shared" ref="E7:S7" si="0">(E5-E4)/E6</f>
        <v>0.76283542460527087</v>
      </c>
      <c r="F7" s="29">
        <f t="shared" si="0"/>
        <v>2.2885067772555714</v>
      </c>
      <c r="G7" s="29">
        <f t="shared" si="0"/>
        <v>1.5256704295984036</v>
      </c>
      <c r="H7" s="29">
        <f t="shared" si="0"/>
        <v>3.8141772068539921</v>
      </c>
      <c r="I7" s="29">
        <f t="shared" si="0"/>
        <v>-13.392019996436858</v>
      </c>
      <c r="J7" s="29">
        <f t="shared" si="0"/>
        <v>-4.7253454064837541</v>
      </c>
      <c r="K7" s="29">
        <f t="shared" si="0"/>
        <v>-4.0684570715427499</v>
      </c>
      <c r="L7" s="29">
        <f t="shared" si="0"/>
        <v>7.2893350688692662</v>
      </c>
      <c r="M7" s="29">
        <f t="shared" si="0"/>
        <v>-1.3773401780193297</v>
      </c>
      <c r="N7" s="29">
        <f t="shared" si="0"/>
        <v>-2.0342284729695725</v>
      </c>
      <c r="O7" s="29">
        <f t="shared" si="0"/>
        <v>5.3186702391821594</v>
      </c>
      <c r="P7" s="29">
        <f t="shared" si="0"/>
        <v>-3.3480052284644159</v>
      </c>
      <c r="Q7" s="29">
        <f t="shared" si="0"/>
        <v>-2.0342285985731721</v>
      </c>
      <c r="R7" s="29">
        <f t="shared" si="0"/>
        <v>1.9706650107177324</v>
      </c>
      <c r="S7" s="29">
        <f t="shared" si="0"/>
        <v>-6.3563587855458084E-2</v>
      </c>
      <c r="T7" s="38"/>
      <c r="U7" s="40"/>
    </row>
    <row r="8" spans="3:21" ht="16.8">
      <c r="C8" s="18" t="s">
        <v>46</v>
      </c>
      <c r="D8" s="29">
        <f>D7^2</f>
        <v>0.58191724484289886</v>
      </c>
      <c r="E8" s="29">
        <f t="shared" ref="E8:S8" si="1">E7^2</f>
        <v>0.58191788503270392</v>
      </c>
      <c r="F8" s="29">
        <f t="shared" si="1"/>
        <v>5.2372632695446812</v>
      </c>
      <c r="G8" s="29">
        <f t="shared" si="1"/>
        <v>2.3276702597509775</v>
      </c>
      <c r="H8" s="29">
        <f t="shared" si="1"/>
        <v>14.547947765284521</v>
      </c>
      <c r="I8" s="29">
        <f t="shared" si="1"/>
        <v>179.34619958496467</v>
      </c>
      <c r="J8" s="29">
        <f t="shared" si="1"/>
        <v>22.328889210577117</v>
      </c>
      <c r="K8" s="29">
        <f t="shared" si="1"/>
        <v>16.552342942986208</v>
      </c>
      <c r="L8" s="29">
        <f t="shared" si="1"/>
        <v>53.13440574624731</v>
      </c>
      <c r="M8" s="29">
        <f t="shared" si="1"/>
        <v>1.8970659659863189</v>
      </c>
      <c r="N8" s="29">
        <f t="shared" si="1"/>
        <v>4.138085480240119</v>
      </c>
      <c r="O8" s="29">
        <f t="shared" si="1"/>
        <v>28.288253113162011</v>
      </c>
      <c r="P8" s="29">
        <f t="shared" si="1"/>
        <v>11.209139009825066</v>
      </c>
      <c r="Q8" s="29">
        <f t="shared" si="1"/>
        <v>4.1380859912529715</v>
      </c>
      <c r="R8" s="29">
        <f t="shared" si="1"/>
        <v>3.8835205844671203</v>
      </c>
      <c r="S8" s="29">
        <f t="shared" si="1"/>
        <v>4.0403297010585381E-3</v>
      </c>
      <c r="T8" s="4">
        <f>SUM(D8:S8)</f>
        <v>348.19674438386579</v>
      </c>
      <c r="U8" s="30" t="s">
        <v>24</v>
      </c>
    </row>
    <row r="9" spans="3:21">
      <c r="C9" s="14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30"/>
    </row>
    <row r="10" spans="3:21">
      <c r="C10" s="18" t="s">
        <v>14</v>
      </c>
      <c r="D10" s="15">
        <v>1</v>
      </c>
      <c r="E10" s="15">
        <v>1</v>
      </c>
      <c r="F10" s="15">
        <v>0</v>
      </c>
      <c r="G10" s="15">
        <v>-1</v>
      </c>
      <c r="H10" s="15">
        <v>0</v>
      </c>
      <c r="I10" s="15">
        <v>0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6">
        <f t="shared" ref="T10:T17" si="2">SUMPRODUCT(D$5:S$5,D10:S10)</f>
        <v>1.1368683772161603E-13</v>
      </c>
      <c r="U10" s="30" t="s">
        <v>26</v>
      </c>
    </row>
    <row r="11" spans="3:21">
      <c r="C11" s="18" t="s">
        <v>15</v>
      </c>
      <c r="D11" s="15">
        <v>0</v>
      </c>
      <c r="E11" s="15">
        <v>0</v>
      </c>
      <c r="F11" s="15">
        <v>1</v>
      </c>
      <c r="G11" s="15">
        <v>1</v>
      </c>
      <c r="H11" s="15">
        <v>-1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6">
        <f t="shared" si="2"/>
        <v>-1.1368683772161603E-13</v>
      </c>
      <c r="U11" s="30" t="s">
        <v>27</v>
      </c>
    </row>
    <row r="12" spans="3:21">
      <c r="C12" s="18" t="s">
        <v>16</v>
      </c>
      <c r="D12" s="15">
        <v>0</v>
      </c>
      <c r="E12" s="15">
        <v>0</v>
      </c>
      <c r="F12" s="15">
        <v>0</v>
      </c>
      <c r="G12" s="15">
        <v>0</v>
      </c>
      <c r="H12" s="15">
        <v>-1</v>
      </c>
      <c r="I12" s="15">
        <v>1</v>
      </c>
      <c r="J12" s="15">
        <v>1</v>
      </c>
      <c r="K12" s="15">
        <v>1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6">
        <f t="shared" si="2"/>
        <v>1.5934132306938409E-6</v>
      </c>
      <c r="U12" s="30" t="s">
        <v>28</v>
      </c>
    </row>
    <row r="13" spans="3:21">
      <c r="C13" s="18" t="s">
        <v>17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-1</v>
      </c>
      <c r="J13" s="15">
        <v>0</v>
      </c>
      <c r="K13" s="15">
        <v>0</v>
      </c>
      <c r="L13" s="15">
        <v>1</v>
      </c>
      <c r="M13" s="15">
        <v>0</v>
      </c>
      <c r="N13" s="15">
        <v>0</v>
      </c>
      <c r="O13" s="15">
        <v>1</v>
      </c>
      <c r="P13" s="15">
        <v>0</v>
      </c>
      <c r="Q13" s="15">
        <v>0</v>
      </c>
      <c r="R13" s="15">
        <v>0</v>
      </c>
      <c r="S13" s="15">
        <v>0</v>
      </c>
      <c r="T13" s="16">
        <f t="shared" si="2"/>
        <v>1.2652244141975189E-4</v>
      </c>
      <c r="U13" s="9" t="s">
        <v>29</v>
      </c>
    </row>
    <row r="14" spans="3:21">
      <c r="C14" s="18" t="s">
        <v>18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-1</v>
      </c>
      <c r="K14" s="15">
        <v>0</v>
      </c>
      <c r="L14" s="15">
        <v>0</v>
      </c>
      <c r="M14" s="15">
        <v>1</v>
      </c>
      <c r="N14" s="15">
        <v>0</v>
      </c>
      <c r="O14" s="15">
        <v>0</v>
      </c>
      <c r="P14" s="15">
        <v>1</v>
      </c>
      <c r="Q14" s="15">
        <v>0</v>
      </c>
      <c r="R14" s="15">
        <v>0</v>
      </c>
      <c r="S14" s="15">
        <v>0</v>
      </c>
      <c r="T14" s="16">
        <f t="shared" si="2"/>
        <v>4.2632564145606011E-14</v>
      </c>
      <c r="U14" s="30" t="s">
        <v>30</v>
      </c>
    </row>
    <row r="15" spans="3:21">
      <c r="C15" s="18" t="s">
        <v>42</v>
      </c>
      <c r="D15" s="15">
        <v>0</v>
      </c>
      <c r="E15" s="15">
        <v>0</v>
      </c>
      <c r="F15" s="15">
        <v>0</v>
      </c>
      <c r="G15" s="15">
        <v>0</v>
      </c>
      <c r="H15" s="15">
        <v>0</v>
      </c>
      <c r="I15" s="15">
        <v>0</v>
      </c>
      <c r="J15" s="15">
        <v>0</v>
      </c>
      <c r="K15" s="15">
        <v>-1</v>
      </c>
      <c r="L15" s="15">
        <v>0</v>
      </c>
      <c r="M15" s="15">
        <v>0</v>
      </c>
      <c r="N15" s="15">
        <v>1</v>
      </c>
      <c r="O15" s="15">
        <v>0</v>
      </c>
      <c r="P15" s="15">
        <v>0</v>
      </c>
      <c r="Q15" s="15">
        <v>1</v>
      </c>
      <c r="R15" s="15">
        <v>0</v>
      </c>
      <c r="S15" s="15">
        <v>0</v>
      </c>
      <c r="T15" s="16">
        <f t="shared" si="2"/>
        <v>2.1316282072803006E-14</v>
      </c>
      <c r="U15" s="30" t="s">
        <v>31</v>
      </c>
    </row>
    <row r="16" spans="3:21">
      <c r="C16" s="18" t="s">
        <v>43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5">
        <v>1</v>
      </c>
      <c r="P16" s="15">
        <v>1</v>
      </c>
      <c r="Q16" s="15">
        <v>0</v>
      </c>
      <c r="R16" s="15">
        <v>-1</v>
      </c>
      <c r="S16" s="15">
        <v>0</v>
      </c>
      <c r="T16" s="16">
        <f t="shared" si="2"/>
        <v>5.6843418860808015E-14</v>
      </c>
      <c r="U16" s="30" t="s">
        <v>32</v>
      </c>
    </row>
    <row r="17" spans="3:21">
      <c r="C17" s="18" t="s">
        <v>44</v>
      </c>
      <c r="D17" s="15">
        <v>0</v>
      </c>
      <c r="E17" s="15">
        <v>0</v>
      </c>
      <c r="F17" s="15">
        <v>0</v>
      </c>
      <c r="G17" s="15">
        <v>0</v>
      </c>
      <c r="H17" s="15">
        <v>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1</v>
      </c>
      <c r="R17" s="15">
        <v>1</v>
      </c>
      <c r="S17" s="15">
        <v>-1</v>
      </c>
      <c r="T17" s="16">
        <f t="shared" si="2"/>
        <v>8.5265128291212022E-14</v>
      </c>
      <c r="U17" s="30" t="s">
        <v>33</v>
      </c>
    </row>
    <row r="18" spans="3:21" ht="17.399999999999999" customHeight="1">
      <c r="C18" s="41" t="s">
        <v>47</v>
      </c>
      <c r="D18" s="42"/>
      <c r="E18" s="5">
        <v>0.95</v>
      </c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6"/>
    </row>
    <row r="19" spans="3:21" ht="17.399999999999999" customHeight="1">
      <c r="C19" s="18" t="s">
        <v>48</v>
      </c>
      <c r="D19" s="15">
        <f>COUNTA(D3:S3)</f>
        <v>16</v>
      </c>
      <c r="E19" s="15" t="s">
        <v>34</v>
      </c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6"/>
    </row>
    <row r="20" spans="3:21" ht="17.399999999999999" customHeight="1">
      <c r="C20" s="43" t="s">
        <v>25</v>
      </c>
      <c r="D20" s="7">
        <f>D19-1</f>
        <v>15</v>
      </c>
      <c r="E20" s="8">
        <f>_xlfn.CHISQ.INV.RT(0.05,D20)</f>
        <v>24.99579013972863</v>
      </c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6"/>
    </row>
    <row r="21" spans="3:21" ht="17.399999999999999" customHeight="1">
      <c r="C21" s="44"/>
      <c r="D21" s="7">
        <f>D20-1</f>
        <v>14</v>
      </c>
      <c r="E21" s="8">
        <f>_xlfn.CHISQ.INV.RT(0.05,D21)</f>
        <v>23.68479130484058</v>
      </c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6"/>
    </row>
    <row r="22" spans="3:21" ht="17.399999999999999" customHeight="1">
      <c r="C22" s="24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6"/>
    </row>
    <row r="23" spans="3:21" ht="17.55" customHeight="1">
      <c r="C23" s="45" t="s">
        <v>35</v>
      </c>
      <c r="D23" s="46"/>
      <c r="E23" s="47" t="s">
        <v>37</v>
      </c>
      <c r="F23" s="47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6"/>
    </row>
    <row r="24" spans="3:21" ht="17.399999999999999" customHeight="1">
      <c r="C24" s="31" t="s">
        <v>21</v>
      </c>
      <c r="D24" s="32">
        <f>T8</f>
        <v>348.19674438386579</v>
      </c>
      <c r="E24" s="33" t="s">
        <v>36</v>
      </c>
      <c r="F24" s="27">
        <f>$T$8 - S8</f>
        <v>348.19270405416472</v>
      </c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6"/>
    </row>
    <row r="25" spans="3:21" ht="17.399999999999999" customHeight="1">
      <c r="C25" s="31" t="s">
        <v>34</v>
      </c>
      <c r="D25" s="32">
        <f>E20</f>
        <v>24.99579013972863</v>
      </c>
      <c r="E25" s="33" t="s">
        <v>34</v>
      </c>
      <c r="F25" s="33">
        <f>E21</f>
        <v>23.68479130484058</v>
      </c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6"/>
    </row>
    <row r="26" spans="3:21" ht="17.399999999999999" customHeight="1" thickBot="1">
      <c r="C26" s="48" t="s">
        <v>35</v>
      </c>
      <c r="D26" s="19" t="str">
        <f>IF(D24&gt;D25,"Gross Error","정상")</f>
        <v>Gross Error</v>
      </c>
      <c r="E26" s="20" t="s">
        <v>38</v>
      </c>
      <c r="F26" s="21" t="s">
        <v>49</v>
      </c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6"/>
    </row>
    <row r="27" spans="3:21" ht="17.399999999999999" customHeight="1"/>
    <row r="28" spans="3:21" ht="17.399999999999999" customHeight="1"/>
    <row r="29" spans="3:21" ht="17.399999999999999" customHeight="1"/>
    <row r="30" spans="3:21" ht="17.399999999999999" customHeight="1"/>
    <row r="31" spans="3:21" ht="17.399999999999999" customHeight="1"/>
    <row r="32" spans="3:21" ht="17.399999999999999" customHeight="1"/>
    <row r="33" spans="3:19" ht="17.399999999999999" customHeight="1"/>
    <row r="37" spans="3:19">
      <c r="C37" s="34" t="s">
        <v>20</v>
      </c>
      <c r="D37" s="49" t="s">
        <v>0</v>
      </c>
      <c r="E37" s="49" t="s">
        <v>1</v>
      </c>
      <c r="F37" s="49" t="s">
        <v>2</v>
      </c>
      <c r="G37" s="49" t="s">
        <v>3</v>
      </c>
      <c r="H37" s="49" t="s">
        <v>4</v>
      </c>
      <c r="I37" s="49" t="s">
        <v>5</v>
      </c>
      <c r="J37" s="49" t="s">
        <v>6</v>
      </c>
      <c r="K37" s="49" t="s">
        <v>7</v>
      </c>
      <c r="L37" s="49" t="s">
        <v>8</v>
      </c>
      <c r="M37" s="49" t="s">
        <v>9</v>
      </c>
      <c r="N37" s="49" t="s">
        <v>10</v>
      </c>
      <c r="O37" s="49" t="s">
        <v>11</v>
      </c>
      <c r="P37" s="49" t="s">
        <v>12</v>
      </c>
      <c r="Q37" s="49" t="s">
        <v>39</v>
      </c>
      <c r="R37" s="49" t="s">
        <v>40</v>
      </c>
      <c r="S37" s="49" t="s">
        <v>41</v>
      </c>
    </row>
    <row r="38" spans="3:19">
      <c r="C38" s="34" t="s">
        <v>52</v>
      </c>
      <c r="D38" s="49">
        <v>346.66721367557437</v>
      </c>
      <c r="E38" s="49">
        <v>346.66713357029533</v>
      </c>
      <c r="F38" s="49">
        <v>336.18318153005919</v>
      </c>
      <c r="G38" s="49">
        <v>343.77180167066024</v>
      </c>
      <c r="H38" s="49">
        <v>321.55999114616571</v>
      </c>
      <c r="I38" s="36">
        <v>7.1736394602339715E-11</v>
      </c>
      <c r="J38" s="49">
        <v>304.84297363506266</v>
      </c>
      <c r="K38" s="49">
        <v>316.96929033315934</v>
      </c>
      <c r="L38" s="49">
        <v>239.29202797769747</v>
      </c>
      <c r="M38" s="49">
        <v>344.25461036842148</v>
      </c>
      <c r="N38" s="49">
        <v>339.14421278529545</v>
      </c>
      <c r="O38" s="49">
        <v>297.72289854638586</v>
      </c>
      <c r="P38" s="49">
        <v>328.3431906561442</v>
      </c>
      <c r="Q38" s="49">
        <v>340.68872065427388</v>
      </c>
      <c r="R38" s="49">
        <v>341.41448264432563</v>
      </c>
      <c r="S38" s="49">
        <v>348.19270405416472</v>
      </c>
    </row>
    <row r="109" spans="3:6">
      <c r="D109" s="3"/>
      <c r="E109" s="3"/>
      <c r="F109" s="3"/>
    </row>
    <row r="112" spans="3:6">
      <c r="C112" s="3"/>
      <c r="D112" s="3"/>
      <c r="E112" s="3"/>
      <c r="F112" s="3"/>
    </row>
    <row r="113" spans="3:7">
      <c r="C113" s="3"/>
      <c r="D113" s="3"/>
      <c r="E113" s="3"/>
      <c r="F113" s="3"/>
    </row>
    <row r="115" spans="3:7">
      <c r="D115" s="3"/>
      <c r="E115" s="3"/>
      <c r="F115" s="3"/>
    </row>
    <row r="118" spans="3:7">
      <c r="C118" s="3"/>
      <c r="D118" s="3"/>
      <c r="E118" s="3"/>
      <c r="F118" s="3"/>
    </row>
    <row r="119" spans="3:7">
      <c r="C119" s="3"/>
      <c r="D119" s="3"/>
      <c r="E119" s="3"/>
      <c r="F119" s="3"/>
    </row>
    <row r="123" spans="3:7">
      <c r="G123" s="3"/>
    </row>
    <row r="126" spans="3:7">
      <c r="D126" s="10"/>
      <c r="E126" s="10"/>
      <c r="G126" s="3"/>
    </row>
    <row r="127" spans="3:7">
      <c r="G127" s="3"/>
    </row>
    <row r="129" spans="4:20">
      <c r="G129" s="3"/>
    </row>
    <row r="132" spans="4:20">
      <c r="D132" s="13"/>
      <c r="E132" s="10"/>
      <c r="G132" s="3"/>
    </row>
    <row r="133" spans="4:20">
      <c r="G133" s="3"/>
    </row>
    <row r="138" spans="4:20">
      <c r="E138" s="1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</row>
    <row r="140" spans="4:20">
      <c r="T140" s="11"/>
    </row>
    <row r="141" spans="4:20"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12"/>
    </row>
    <row r="142" spans="4:20"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</row>
    <row r="144" spans="4:20"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</row>
    <row r="146" spans="8:20">
      <c r="T146" s="11"/>
    </row>
    <row r="147" spans="8:20"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12"/>
    </row>
    <row r="148" spans="8:20"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</row>
  </sheetData>
  <mergeCells count="6">
    <mergeCell ref="T3:T7"/>
    <mergeCell ref="U3:U7"/>
    <mergeCell ref="C18:D18"/>
    <mergeCell ref="C20:C21"/>
    <mergeCell ref="C23:D23"/>
    <mergeCell ref="E23:F23"/>
  </mergeCells>
  <phoneticPr fontId="1" type="noConversion"/>
  <conditionalFormatting sqref="D10:S17">
    <cfRule type="cellIs" dxfId="4" priority="7" operator="notEqual">
      <formula>0</formula>
    </cfRule>
  </conditionalFormatting>
  <conditionalFormatting sqref="F24:F25">
    <cfRule type="expression" dxfId="3" priority="6">
      <formula>$K$53="Gross Error"</formula>
    </cfRule>
  </conditionalFormatting>
  <conditionalFormatting sqref="D26">
    <cfRule type="containsText" dxfId="2" priority="5" operator="containsText" text="Gross Error">
      <formula>NOT(ISERROR(SEARCH("Gross Error",D26)))</formula>
    </cfRule>
  </conditionalFormatting>
  <conditionalFormatting sqref="F26">
    <cfRule type="expression" dxfId="1" priority="1">
      <formula>$D$26="정상"</formula>
    </cfRule>
    <cfRule type="expression" dxfId="0" priority="2">
      <formula>$F$24&lt;$F25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유량계 오차 보정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SAMSUNG</dc:creator>
  <cp:lastModifiedBy>석규한</cp:lastModifiedBy>
  <dcterms:created xsi:type="dcterms:W3CDTF">2021-05-07T01:35:42Z</dcterms:created>
  <dcterms:modified xsi:type="dcterms:W3CDTF">2022-02-08T05:21:24Z</dcterms:modified>
</cp:coreProperties>
</file>